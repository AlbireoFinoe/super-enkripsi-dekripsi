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mbuktian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<sst xmlns="http://schemas.openxmlformats.org/spreadsheetml/2006/main" count="16" uniqueCount="16">
  <si>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PARAMETER INPUT</t>
  </si>
  <si>
    <t>Nilai a</t>
  </si>
  <si>
    <t>Nilai x0</t>
  </si>
  <si>
    <t>Seed PRNG</t>
  </si>
  <si>
    <t>Plaintext</t>
  </si>
  <si>
    <t>ALBI</t>
  </si>
  <si>
    <t>Index</t>
  </si>
  <si>
    <t>Chaos (x)</t>
  </si>
  <si>
    <t>Keystream Chaos</t>
  </si>
  <si>
    <t>Ranking</t>
  </si>
  <si>
    <t>Huruf Asli</t>
  </si>
  <si>
    <t>ASCII (P)</t>
  </si>
  <si>
    <t>XOR PRNG</t>
  </si>
  <si>
    <t>XOR Chaotic</t>
  </si>
  <si>
    <t>Char Substitusi</t>
  </si>
  <si>
    <t>Cipher 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</si>
</sst>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0" width="16.7109375" customWidth="1"/>
  </cols>
  <sheetData>
    <row r="1" spans="1:10">
      <c r="A1" s="1" t="s">
        <v>0</v>
      </c>
      <c r="B1" s="1"/>
    </row>
    <row r="2" spans="1:10">
      <c r="A2" s="2" t="s">
        <v>1</v>
      </c>
      <c r="B2" s="3">
        <v>3.9</v>
      </c>
    </row>
    <row r="3" spans="1:10">
      <c r="A3" s="2" t="s">
        <v>2</v>
      </c>
      <c r="B3" s="3">
        <v>0.5</v>
      </c>
    </row>
    <row r="4" spans="1:10">
      <c r="A4" s="2" t="s">
        <v>3</v>
      </c>
      <c r="B4" s="3">
        <v>123</v>
      </c>
    </row>
    <row r="5" spans="1:10">
      <c r="A5" s="2" t="s">
        <v>4</v>
      </c>
      <c r="B5" s="3" t="s">
        <v>5</v>
      </c>
    </row>
    <row r="8" spans="1:10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</row>
    <row r="9" spans="1:10">
      <c r="A9" s="4">
        <v>0</v>
      </c>
      <c r="B9" s="4">
        <f>$B$2*$B$3*(1-$B$3)</f>
        <v>0</v>
      </c>
      <c r="C9" s="4">
        <f>MOD(INT(B9*10^10),256)</f>
        <v>0</v>
      </c>
      <c r="D9" s="4">
        <f>IF(A9&lt;LEN($B$5),MATCH(SMALL(OFFSET($B$9,0,0,LEN($B$5),1),A9+1),OFFSET($B$9,0,0,LEN($B$5),1),0)-1,"")</f>
        <v>0</v>
      </c>
      <c r="E9" s="4">
        <f>IF(A9&lt;LEN($B$5),MID($B$5,A9+1,1),"")</f>
        <v>0</v>
      </c>
      <c r="F9" s="4">
        <f>IF(A9&lt;LEN($B$5),CODE(E9),"")</f>
        <v>0</v>
      </c>
      <c r="G9" s="4">
        <f>IF(A9&lt;LEN($B$5),BITXOR(F9,MOD((123+A9)*1103515245+12345,256)),"")</f>
        <v>0</v>
      </c>
      <c r="H9" s="4">
        <f>IF(A9&lt;LEN($B$5),BITXOR(G9,C9),"")</f>
        <v>0</v>
      </c>
      <c r="I9" s="4">
        <f>IF(A9&lt;LEN($B$5),CHAR(H9),"")</f>
        <v>0</v>
      </c>
      <c r="J9" s="4">
        <f>IF(A9&lt;LEN($B$5),INDEX(OFFSET($I$9,0,0,LEN($B$5),1),D9+1),"")</f>
        <v>0</v>
      </c>
    </row>
    <row r="10" spans="1:10">
      <c r="A10" s="4">
        <v>1</v>
      </c>
      <c r="B10" s="4">
        <f>$B$2*B9*(1-B9)</f>
        <v>0</v>
      </c>
      <c r="C10" s="4">
        <f>MOD(INT(B10*10^10),256)</f>
        <v>0</v>
      </c>
      <c r="D10" s="4">
        <f>IF(A10&lt;LEN($B$5),MATCH(SMALL(OFFSET($B$9,0,0,LEN($B$5),1),A10+1),OFFSET($B$9,0,0,LEN($B$5),1),0)-1,"")</f>
        <v>0</v>
      </c>
      <c r="E10" s="4">
        <f>IF(A10&lt;LEN($B$5),MID($B$5,A10+1,1),"")</f>
        <v>0</v>
      </c>
      <c r="F10" s="4">
        <f>IF(A10&lt;LEN($B$5),CODE(E10),"")</f>
        <v>0</v>
      </c>
      <c r="G10" s="4">
        <f>IF(A10&lt;LEN($B$5),BITXOR(F10,MOD((123+A10)*1103515245+12345,256)),"")</f>
        <v>0</v>
      </c>
      <c r="H10" s="4">
        <f>IF(A10&lt;LEN($B$5),BITXOR(G10,C10),"")</f>
        <v>0</v>
      </c>
      <c r="I10" s="4">
        <f>IF(A10&lt;LEN($B$5),CHAR(H10),"")</f>
        <v>0</v>
      </c>
      <c r="J10" s="4">
        <f>IF(A10&lt;LEN($B$5),INDEX(OFFSET($I$9,0,0,LEN($B$5),1),D10+1),"")</f>
        <v>0</v>
      </c>
    </row>
    <row r="11" spans="1:10">
      <c r="A11" s="4">
        <v>2</v>
      </c>
      <c r="B11" s="4">
        <f>$B$2*B10*(1-B10)</f>
        <v>0</v>
      </c>
      <c r="C11" s="4">
        <f>MOD(INT(B11*10^10),256)</f>
        <v>0</v>
      </c>
      <c r="D11" s="4">
        <f>IF(A11&lt;LEN($B$5),MATCH(SMALL(OFFSET($B$9,0,0,LEN($B$5),1),A11+1),OFFSET($B$9,0,0,LEN($B$5),1),0)-1,"")</f>
        <v>0</v>
      </c>
      <c r="E11" s="4">
        <f>IF(A11&lt;LEN($B$5),MID($B$5,A11+1,1),"")</f>
        <v>0</v>
      </c>
      <c r="F11" s="4">
        <f>IF(A11&lt;LEN($B$5),CODE(E11),"")</f>
        <v>0</v>
      </c>
      <c r="G11" s="4">
        <f>IF(A11&lt;LEN($B$5),BITXOR(F11,MOD((123+A11)*1103515245+12345,256)),"")</f>
        <v>0</v>
      </c>
      <c r="H11" s="4">
        <f>IF(A11&lt;LEN($B$5),BITXOR(G11,C11),"")</f>
        <v>0</v>
      </c>
      <c r="I11" s="4">
        <f>IF(A11&lt;LEN($B$5),CHAR(H11),"")</f>
        <v>0</v>
      </c>
      <c r="J11" s="4">
        <f>IF(A11&lt;LEN($B$5),INDEX(OFFSET($I$9,0,0,LEN($B$5),1),D11+1),"")</f>
        <v>0</v>
      </c>
    </row>
    <row r="12" spans="1:10">
      <c r="A12" s="4">
        <v>3</v>
      </c>
      <c r="B12" s="4">
        <f>$B$2*B11*(1-B11)</f>
        <v>0</v>
      </c>
      <c r="C12" s="4">
        <f>MOD(INT(B12*10^10),256)</f>
        <v>0</v>
      </c>
      <c r="D12" s="4">
        <f>IF(A12&lt;LEN($B$5),MATCH(SMALL(OFFSET($B$9,0,0,LEN($B$5),1),A12+1),OFFSET($B$9,0,0,LEN($B$5),1),0)-1,"")</f>
        <v>0</v>
      </c>
      <c r="E12" s="4">
        <f>IF(A12&lt;LEN($B$5),MID($B$5,A12+1,1),"")</f>
        <v>0</v>
      </c>
      <c r="F12" s="4">
        <f>IF(A12&lt;LEN($B$5),CODE(E12),"")</f>
        <v>0</v>
      </c>
      <c r="G12" s="4">
        <f>IF(A12&lt;LEN($B$5),BITXOR(F12,MOD((123+A12)*1103515245+12345,256)),"")</f>
        <v>0</v>
      </c>
      <c r="H12" s="4">
        <f>IF(A12&lt;LEN($B$5),BITXOR(G12,C12),"")</f>
        <v>0</v>
      </c>
      <c r="I12" s="4">
        <f>IF(A12&lt;LEN($B$5),CHAR(H12),"")</f>
        <v>0</v>
      </c>
      <c r="J12" s="4">
        <f>IF(A12&lt;LEN($B$5),INDEX(OFFSET($I$9,0,0,LEN($B$5),1),D12+1),"")</f>
        <v>0</v>
      </c>
    </row>
    <row r="13" spans="1:10">
      <c r="A13" s="4">
        <v>4</v>
      </c>
      <c r="B13" s="4">
        <f>$B$2*B12*(1-B12)</f>
        <v>0</v>
      </c>
      <c r="C13" s="4">
        <f>MOD(INT(B13*10^10),256)</f>
        <v>0</v>
      </c>
      <c r="D13" s="4">
        <f>IF(A13&lt;LEN($B$5),MATCH(SMALL(OFFSET($B$9,0,0,LEN($B$5),1),A13+1),OFFSET($B$9,0,0,LEN($B$5),1),0)-1,"")</f>
        <v>0</v>
      </c>
      <c r="E13" s="4">
        <f>IF(A13&lt;LEN($B$5),MID($B$5,A13+1,1),"")</f>
        <v>0</v>
      </c>
      <c r="F13" s="4">
        <f>IF(A13&lt;LEN($B$5),CODE(E13),"")</f>
        <v>0</v>
      </c>
      <c r="G13" s="4">
        <f>IF(A13&lt;LEN($B$5),BITXOR(F13,MOD((123+A13)*1103515245+12345,256)),"")</f>
        <v>0</v>
      </c>
      <c r="H13" s="4">
        <f>IF(A13&lt;LEN($B$5),BITXOR(G13,C13),"")</f>
        <v>0</v>
      </c>
      <c r="I13" s="4">
        <f>IF(A13&lt;LEN($B$5),CHAR(H13),"")</f>
        <v>0</v>
      </c>
      <c r="J13" s="4">
        <f>IF(A13&lt;LEN($B$5),INDEX(OFFSET($I$9,0,0,LEN($B$5),1),D13+1),"")</f>
        <v>0</v>
      </c>
    </row>
    <row r="14" spans="1:10">
      <c r="A14" s="4">
        <v>5</v>
      </c>
      <c r="B14" s="4">
        <f>$B$2*B13*(1-B13)</f>
        <v>0</v>
      </c>
      <c r="C14" s="4">
        <f>MOD(INT(B14*10^10),256)</f>
        <v>0</v>
      </c>
      <c r="D14" s="4">
        <f>IF(A14&lt;LEN($B$5),MATCH(SMALL(OFFSET($B$9,0,0,LEN($B$5),1),A14+1),OFFSET($B$9,0,0,LEN($B$5),1),0)-1,"")</f>
        <v>0</v>
      </c>
      <c r="E14" s="4">
        <f>IF(A14&lt;LEN($B$5),MID($B$5,A14+1,1),"")</f>
        <v>0</v>
      </c>
      <c r="F14" s="4">
        <f>IF(A14&lt;LEN($B$5),CODE(E14),"")</f>
        <v>0</v>
      </c>
      <c r="G14" s="4">
        <f>IF(A14&lt;LEN($B$5),BITXOR(F14,MOD((123+A14)*1103515245+12345,256)),"")</f>
        <v>0</v>
      </c>
      <c r="H14" s="4">
        <f>IF(A14&lt;LEN($B$5),BITXOR(G14,C14),"")</f>
        <v>0</v>
      </c>
      <c r="I14" s="4">
        <f>IF(A14&lt;LEN($B$5),CHAR(H14),"")</f>
        <v>0</v>
      </c>
      <c r="J14" s="4">
        <f>IF(A14&lt;LEN($B$5),INDEX(OFFSET($I$9,0,0,LEN($B$5),1),D14+1),"")</f>
        <v>0</v>
      </c>
    </row>
    <row r="15" spans="1:10">
      <c r="A15" s="4">
        <v>6</v>
      </c>
      <c r="B15" s="4">
        <f>$B$2*B14*(1-B14)</f>
        <v>0</v>
      </c>
      <c r="C15" s="4">
        <f>MOD(INT(B15*10^10),256)</f>
        <v>0</v>
      </c>
      <c r="D15" s="4">
        <f>IF(A15&lt;LEN($B$5),MATCH(SMALL(OFFSET($B$9,0,0,LEN($B$5),1),A15+1),OFFSET($B$9,0,0,LEN($B$5),1),0)-1,"")</f>
        <v>0</v>
      </c>
      <c r="E15" s="4">
        <f>IF(A15&lt;LEN($B$5),MID($B$5,A15+1,1),"")</f>
        <v>0</v>
      </c>
      <c r="F15" s="4">
        <f>IF(A15&lt;LEN($B$5),CODE(E15),"")</f>
        <v>0</v>
      </c>
      <c r="G15" s="4">
        <f>IF(A15&lt;LEN($B$5),BITXOR(F15,MOD((123+A15)*1103515245+12345,256)),"")</f>
        <v>0</v>
      </c>
      <c r="H15" s="4">
        <f>IF(A15&lt;LEN($B$5),BITXOR(G15,C15),"")</f>
        <v>0</v>
      </c>
      <c r="I15" s="4">
        <f>IF(A15&lt;LEN($B$5),CHAR(H15),"")</f>
        <v>0</v>
      </c>
      <c r="J15" s="4">
        <f>IF(A15&lt;LEN($B$5),INDEX(OFFSET($I$9,0,0,LEN($B$5),1),D15+1),"")</f>
        <v>0</v>
      </c>
    </row>
    <row r="16" spans="1:10">
      <c r="A16" s="4">
        <v>7</v>
      </c>
      <c r="B16" s="4">
        <f>$B$2*B15*(1-B15)</f>
        <v>0</v>
      </c>
      <c r="C16" s="4">
        <f>MOD(INT(B16*10^10),256)</f>
        <v>0</v>
      </c>
      <c r="D16" s="4">
        <f>IF(A16&lt;LEN($B$5),MATCH(SMALL(OFFSET($B$9,0,0,LEN($B$5),1),A16+1),OFFSET($B$9,0,0,LEN($B$5),1),0)-1,"")</f>
        <v>0</v>
      </c>
      <c r="E16" s="4">
        <f>IF(A16&lt;LEN($B$5),MID($B$5,A16+1,1),"")</f>
        <v>0</v>
      </c>
      <c r="F16" s="4">
        <f>IF(A16&lt;LEN($B$5),CODE(E16),"")</f>
        <v>0</v>
      </c>
      <c r="G16" s="4">
        <f>IF(A16&lt;LEN($B$5),BITXOR(F16,MOD((123+A16)*1103515245+12345,256)),"")</f>
        <v>0</v>
      </c>
      <c r="H16" s="4">
        <f>IF(A16&lt;LEN($B$5),BITXOR(G16,C16),"")</f>
        <v>0</v>
      </c>
      <c r="I16" s="4">
        <f>IF(A16&lt;LEN($B$5),CHAR(H16),"")</f>
        <v>0</v>
      </c>
      <c r="J16" s="4">
        <f>IF(A16&lt;LEN($B$5),INDEX(OFFSET($I$9,0,0,LEN($B$5),1),D16+1),"")</f>
        <v>0</v>
      </c>
    </row>
    <row r="17" spans="1:10">
      <c r="A17" s="4">
        <v>8</v>
      </c>
      <c r="B17" s="4">
        <f>$B$2*B16*(1-B16)</f>
        <v>0</v>
      </c>
      <c r="C17" s="4">
        <f>MOD(INT(B17*10^10),256)</f>
        <v>0</v>
      </c>
      <c r="D17" s="4">
        <f>IF(A17&lt;LEN($B$5),MATCH(SMALL(OFFSET($B$9,0,0,LEN($B$5),1),A17+1),OFFSET($B$9,0,0,LEN($B$5),1),0)-1,"")</f>
        <v>0</v>
      </c>
      <c r="E17" s="4">
        <f>IF(A17&lt;LEN($B$5),MID($B$5,A17+1,1),"")</f>
        <v>0</v>
      </c>
      <c r="F17" s="4">
        <f>IF(A17&lt;LEN($B$5),CODE(E17),"")</f>
        <v>0</v>
      </c>
      <c r="G17" s="4">
        <f>IF(A17&lt;LEN($B$5),BITXOR(F17,MOD((123+A17)*1103515245+12345,256)),"")</f>
        <v>0</v>
      </c>
      <c r="H17" s="4">
        <f>IF(A17&lt;LEN($B$5),BITXOR(G17,C17),"")</f>
        <v>0</v>
      </c>
      <c r="I17" s="4">
        <f>IF(A17&lt;LEN($B$5),CHAR(H17),"")</f>
        <v>0</v>
      </c>
      <c r="J17" s="4">
        <f>IF(A17&lt;LEN($B$5),INDEX(OFFSET($I$9,0,0,LEN($B$5),1),D17+1),"")</f>
        <v>0</v>
      </c>
    </row>
    <row r="18" spans="1:10">
      <c r="A18" s="4">
        <v>9</v>
      </c>
      <c r="B18" s="4">
        <f>$B$2*B17*(1-B17)</f>
        <v>0</v>
      </c>
      <c r="C18" s="4">
        <f>MOD(INT(B18*10^10),256)</f>
        <v>0</v>
      </c>
      <c r="D18" s="4">
        <f>IF(A18&lt;LEN($B$5),MATCH(SMALL(OFFSET($B$9,0,0,LEN($B$5),1),A18+1),OFFSET($B$9,0,0,LEN($B$5),1),0)-1,"")</f>
        <v>0</v>
      </c>
      <c r="E18" s="4">
        <f>IF(A18&lt;LEN($B$5),MID($B$5,A18+1,1),"")</f>
        <v>0</v>
      </c>
      <c r="F18" s="4">
        <f>IF(A18&lt;LEN($B$5),CODE(E18),"")</f>
        <v>0</v>
      </c>
      <c r="G18" s="4">
        <f>IF(A18&lt;LEN($B$5),BITXOR(F18,MOD((123+A18)*1103515245+12345,256)),"")</f>
        <v>0</v>
      </c>
      <c r="H18" s="4">
        <f>IF(A18&lt;LEN($B$5),BITXOR(G18,C18),"")</f>
        <v>0</v>
      </c>
      <c r="I18" s="4">
        <f>IF(A18&lt;LEN($B$5),CHAR(H18),"")</f>
        <v>0</v>
      </c>
      <c r="J18" s="4">
        <f>IF(A18&lt;LEN($B$5),INDEX(OFFSET($I$9,0,0,LEN($B$5),1),D18+1),"")</f>
        <v>0</v>
      </c>
    </row>
    <row r="19" spans="1:10">
      <c r="A19" s="4">
        <v>10</v>
      </c>
      <c r="B19" s="4">
        <f>$B$2*B18*(1-B18)</f>
        <v>0</v>
      </c>
      <c r="C19" s="4">
        <f>MOD(INT(B19*10^10),256)</f>
        <v>0</v>
      </c>
      <c r="D19" s="4">
        <f>IF(A19&lt;LEN($B$5),MATCH(SMALL(OFFSET($B$9,0,0,LEN($B$5),1),A19+1),OFFSET($B$9,0,0,LEN($B$5),1),0)-1,"")</f>
        <v>0</v>
      </c>
      <c r="E19" s="4">
        <f>IF(A19&lt;LEN($B$5),MID($B$5,A19+1,1),"")</f>
        <v>0</v>
      </c>
      <c r="F19" s="4">
        <f>IF(A19&lt;LEN($B$5),CODE(E19),"")</f>
        <v>0</v>
      </c>
      <c r="G19" s="4">
        <f>IF(A19&lt;LEN($B$5),BITXOR(F19,MOD((123+A19)*1103515245+12345,256)),"")</f>
        <v>0</v>
      </c>
      <c r="H19" s="4">
        <f>IF(A19&lt;LEN($B$5),BITXOR(G19,C19),"")</f>
        <v>0</v>
      </c>
      <c r="I19" s="4">
        <f>IF(A19&lt;LEN($B$5),CHAR(H19),"")</f>
        <v>0</v>
      </c>
      <c r="J19" s="4">
        <f>IF(A19&lt;LEN($B$5),INDEX(OFFSET($I$9,0,0,LEN($B$5),1),D19+1),"")</f>
        <v>0</v>
      </c>
    </row>
    <row r="20" spans="1:10">
      <c r="A20" s="4">
        <v>11</v>
      </c>
      <c r="B20" s="4">
        <f>$B$2*B19*(1-B19)</f>
        <v>0</v>
      </c>
      <c r="C20" s="4">
        <f>MOD(INT(B20*10^10),256)</f>
        <v>0</v>
      </c>
      <c r="D20" s="4">
        <f>IF(A20&lt;LEN($B$5),MATCH(SMALL(OFFSET($B$9,0,0,LEN($B$5),1),A20+1),OFFSET($B$9,0,0,LEN($B$5),1),0)-1,"")</f>
        <v>0</v>
      </c>
      <c r="E20" s="4">
        <f>IF(A20&lt;LEN($B$5),MID($B$5,A20+1,1),"")</f>
        <v>0</v>
      </c>
      <c r="F20" s="4">
        <f>IF(A20&lt;LEN($B$5),CODE(E20),"")</f>
        <v>0</v>
      </c>
      <c r="G20" s="4">
        <f>IF(A20&lt;LEN($B$5),BITXOR(F20,MOD((123+A20)*1103515245+12345,256)),"")</f>
        <v>0</v>
      </c>
      <c r="H20" s="4">
        <f>IF(A20&lt;LEN($B$5),BITXOR(G20,C20),"")</f>
        <v>0</v>
      </c>
      <c r="I20" s="4">
        <f>IF(A20&lt;LEN($B$5),CHAR(H20),"")</f>
        <v>0</v>
      </c>
      <c r="J20" s="4">
        <f>IF(A20&lt;LEN($B$5),INDEX(OFFSET($I$9,0,0,LEN($B$5),1),D20+1),"")</f>
        <v>0</v>
      </c>
    </row>
    <row r="21" spans="1:10">
      <c r="A21" s="4">
        <v>12</v>
      </c>
      <c r="B21" s="4">
        <f>$B$2*B20*(1-B20)</f>
        <v>0</v>
      </c>
      <c r="C21" s="4">
        <f>MOD(INT(B21*10^10),256)</f>
        <v>0</v>
      </c>
      <c r="D21" s="4">
        <f>IF(A21&lt;LEN($B$5),MATCH(SMALL(OFFSET($B$9,0,0,LEN($B$5),1),A21+1),OFFSET($B$9,0,0,LEN($B$5),1),0)-1,"")</f>
        <v>0</v>
      </c>
      <c r="E21" s="4">
        <f>IF(A21&lt;LEN($B$5),MID($B$5,A21+1,1),"")</f>
        <v>0</v>
      </c>
      <c r="F21" s="4">
        <f>IF(A21&lt;LEN($B$5),CODE(E21),"")</f>
        <v>0</v>
      </c>
      <c r="G21" s="4">
        <f>IF(A21&lt;LEN($B$5),BITXOR(F21,MOD((123+A21)*1103515245+12345,256)),"")</f>
        <v>0</v>
      </c>
      <c r="H21" s="4">
        <f>IF(A21&lt;LEN($B$5),BITXOR(G21,C21),"")</f>
        <v>0</v>
      </c>
      <c r="I21" s="4">
        <f>IF(A21&lt;LEN($B$5),CHAR(H21),"")</f>
        <v>0</v>
      </c>
      <c r="J21" s="4">
        <f>IF(A21&lt;LEN($B$5),INDEX(OFFSET($I$9,0,0,LEN($B$5),1),D21+1),"")</f>
        <v>0</v>
      </c>
    </row>
    <row r="22" spans="1:10">
      <c r="A22" s="4">
        <v>13</v>
      </c>
      <c r="B22" s="4">
        <f>$B$2*B21*(1-B21)</f>
        <v>0</v>
      </c>
      <c r="C22" s="4">
        <f>MOD(INT(B22*10^10),256)</f>
        <v>0</v>
      </c>
      <c r="D22" s="4">
        <f>IF(A22&lt;LEN($B$5),MATCH(SMALL(OFFSET($B$9,0,0,LEN($B$5),1),A22+1),OFFSET($B$9,0,0,LEN($B$5),1),0)-1,"")</f>
        <v>0</v>
      </c>
      <c r="E22" s="4">
        <f>IF(A22&lt;LEN($B$5),MID($B$5,A22+1,1),"")</f>
        <v>0</v>
      </c>
      <c r="F22" s="4">
        <f>IF(A22&lt;LEN($B$5),CODE(E22),"")</f>
        <v>0</v>
      </c>
      <c r="G22" s="4">
        <f>IF(A22&lt;LEN($B$5),BITXOR(F22,MOD((123+A22)*1103515245+12345,256)),"")</f>
        <v>0</v>
      </c>
      <c r="H22" s="4">
        <f>IF(A22&lt;LEN($B$5),BITXOR(G22,C22),"")</f>
        <v>0</v>
      </c>
      <c r="I22" s="4">
        <f>IF(A22&lt;LEN($B$5),CHAR(H22),"")</f>
        <v>0</v>
      </c>
      <c r="J22" s="4">
        <f>IF(A22&lt;LEN($B$5),INDEX(OFFSET($I$9,0,0,LEN($B$5),1),D22+1),"")</f>
        <v>0</v>
      </c>
    </row>
    <row r="23" spans="1:10">
      <c r="A23" s="4">
        <v>14</v>
      </c>
      <c r="B23" s="4">
        <f>$B$2*B22*(1-B22)</f>
        <v>0</v>
      </c>
      <c r="C23" s="4">
        <f>MOD(INT(B23*10^10),256)</f>
        <v>0</v>
      </c>
      <c r="D23" s="4">
        <f>IF(A23&lt;LEN($B$5),MATCH(SMALL(OFFSET($B$9,0,0,LEN($B$5),1),A23+1),OFFSET($B$9,0,0,LEN($B$5),1),0)-1,"")</f>
        <v>0</v>
      </c>
      <c r="E23" s="4">
        <f>IF(A23&lt;LEN($B$5),MID($B$5,A23+1,1),"")</f>
        <v>0</v>
      </c>
      <c r="F23" s="4">
        <f>IF(A23&lt;LEN($B$5),CODE(E23),"")</f>
        <v>0</v>
      </c>
      <c r="G23" s="4">
        <f>IF(A23&lt;LEN($B$5),BITXOR(F23,MOD((123+A23)*1103515245+12345,256)),"")</f>
        <v>0</v>
      </c>
      <c r="H23" s="4">
        <f>IF(A23&lt;LEN($B$5),BITXOR(G23,C23),"")</f>
        <v>0</v>
      </c>
      <c r="I23" s="4">
        <f>IF(A23&lt;LEN($B$5),CHAR(H23),"")</f>
        <v>0</v>
      </c>
      <c r="J23" s="4">
        <f>IF(A23&lt;LEN($B$5),INDEX(OFFSET($I$9,0,0,LEN($B$5),1),D23+1),"")</f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Pembuktian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2026-01-08T05:58:50Z</dcterms:created>
  <dcterms:modified xsi:type="dcterms:W3CDTF">2026-01-08T05:58:50Z</dcterms:modified>
</cp:coreProperties>
</file>